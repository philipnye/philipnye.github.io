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n\Documents\Work\Coding\public_sector_net_borrowing\"/>
    </mc:Choice>
  </mc:AlternateContent>
  <xr:revisionPtr revIDLastSave="0" documentId="13_ncr:1_{D5A09599-0707-43C4-AFD3-39069F293B8A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raw" sheetId="1" r:id="rId1"/>
    <sheet name="min-max" sheetId="2" r:id="rId2"/>
    <sheet name="average" sheetId="4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4" i="1" l="1"/>
  <c r="L14" i="1"/>
  <c r="K14" i="1"/>
  <c r="J14" i="1"/>
  <c r="I14" i="1"/>
  <c r="H14" i="1"/>
  <c r="G14" i="1"/>
  <c r="F14" i="1"/>
  <c r="E14" i="1"/>
  <c r="D14" i="1"/>
  <c r="C14" i="1"/>
  <c r="B14" i="1"/>
  <c r="B3" i="4"/>
  <c r="B4" i="4"/>
  <c r="B5" i="4"/>
  <c r="B6" i="4"/>
  <c r="B7" i="4"/>
  <c r="B8" i="4"/>
  <c r="B9" i="4"/>
  <c r="B10" i="4"/>
  <c r="B11" i="4"/>
  <c r="B12" i="4"/>
  <c r="B13" i="4"/>
  <c r="B2" i="4"/>
  <c r="B3" i="2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C2" i="2"/>
  <c r="B2" i="2"/>
</calcChain>
</file>

<file path=xl/sharedStrings.xml><?xml version="1.0" encoding="utf-8"?>
<sst xmlns="http://schemas.openxmlformats.org/spreadsheetml/2006/main" count="39" uniqueCount="15">
  <si>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</si>
  <si>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</si>
  <si>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</si>
  <si>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</si>
  <si>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</si>
  <si>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</si>
  <si>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</si>
  <si>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</si>
  <si>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</si>
  <si>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</si>
  <si>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</si>
  <si>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</si>
  <si>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Average, 2008-2019</t>
  </si>
  <si>
    <t>Min, 2008-2019</t>
  </si>
  <si>
    <t>Max, 2008-2019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</si>
</sst>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0"/>
      <name val="Arial"/>
    </font>
    <font>
      <sz val="10"/>
      <name val="Arial"/>
    </font>
    <font>
      <sz val="8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3" fontId="3" fillId="0" borderId="0" xfId="1" applyNumberFormat="1" applyFont="1"/>
    <xf numFmtId="0" fontId="4" fillId="0" borderId="0" xfId="0" applyFont="1"/>
    <xf numFmtId="3" fontId="5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raw!$B$1</c:f>
              <c:strCache>
                <c:ptCount val="1"/>
                <c:pt idx="0">
                  <c:v>2008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raw!$A$2:$A$13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raw!$B$2:$B$13</c:f>
              <c:numCache>
                <c:formatCode>#,##0</c:formatCode>
                <c:ptCount val="12"/>
                <c:pt idx="0">
                  <c:v>-6315</c:v>
                </c:pt>
                <c:pt idx="1">
                  <c:v>2468</c:v>
                </c:pt>
                <c:pt idx="2">
                  <c:v>5244</c:v>
                </c:pt>
                <c:pt idx="3">
                  <c:v>7014</c:v>
                </c:pt>
                <c:pt idx="4">
                  <c:v>8153</c:v>
                </c:pt>
                <c:pt idx="5">
                  <c:v>7252</c:v>
                </c:pt>
                <c:pt idx="6">
                  <c:v>3747</c:v>
                </c:pt>
                <c:pt idx="7">
                  <c:v>8998</c:v>
                </c:pt>
                <c:pt idx="8">
                  <c:v>13391</c:v>
                </c:pt>
                <c:pt idx="9">
                  <c:v>11070</c:v>
                </c:pt>
                <c:pt idx="10">
                  <c:v>12780</c:v>
                </c:pt>
                <c:pt idx="11">
                  <c:v>15617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BB-4BA9-BCBF-B6763E22D726}"/>
            </c:ext>
          </c:extLst>
        </c:ser>
        <c:ser>
          <c:idx val="1"/>
          <c:order val="1"/>
          <c:tx>
            <c:strRef>
              <c:f>raw!$C$1</c:f>
              <c:strCache>
                <c:ptCount val="1"/>
                <c:pt idx="0">
                  <c:v>2009</c:v>
                </c:pt>
              </c:strCache>
            </c:strRef>
          </c:tx>
          <c:spPr>
            <a:ln w="28575" cap="rnd">
              <a:solidFill>
                <a:srgbClr val="008B8B"/>
              </a:solidFill>
              <a:round/>
            </a:ln>
            <a:effectLst/>
          </c:spPr>
          <c:marker>
            <c:symbol val="none"/>
          </c:marker>
          <c:cat>
            <c:strRef>
              <c:f>raw!$A$2:$A$13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raw!$C$2:$C$13</c:f>
              <c:numCache>
                <c:formatCode>#,##0</c:formatCode>
                <c:ptCount val="12"/>
                <c:pt idx="0">
                  <c:v>6073</c:v>
                </c:pt>
                <c:pt idx="1">
                  <c:v>10241</c:v>
                </c:pt>
                <c:pt idx="2">
                  <c:v>13514</c:v>
                </c:pt>
                <c:pt idx="3">
                  <c:v>11255</c:v>
                </c:pt>
                <c:pt idx="4">
                  <c:v>13978</c:v>
                </c:pt>
                <c:pt idx="5">
                  <c:v>16869</c:v>
                </c:pt>
                <c:pt idx="6">
                  <c:v>9443</c:v>
                </c:pt>
                <c:pt idx="7">
                  <c:v>12146</c:v>
                </c:pt>
                <c:pt idx="8">
                  <c:v>16535</c:v>
                </c:pt>
                <c:pt idx="9">
                  <c:v>14769</c:v>
                </c:pt>
                <c:pt idx="10">
                  <c:v>14281</c:v>
                </c:pt>
                <c:pt idx="11">
                  <c:v>21311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BB-4BA9-BCBF-B6763E22D726}"/>
            </c:ext>
          </c:extLst>
        </c:ser>
        <c:ser>
          <c:idx val="2"/>
          <c:order val="2"/>
          <c:tx>
            <c:strRef>
              <c:f>raw!$D$1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raw!$A$2:$A$13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raw!$D$2:$D$13</c:f>
              <c:numCache>
                <c:formatCode>#,##0</c:formatCode>
                <c:ptCount val="12"/>
                <c:pt idx="0">
                  <c:v>6591</c:v>
                </c:pt>
                <c:pt idx="1">
                  <c:v>8686</c:v>
                </c:pt>
                <c:pt idx="2">
                  <c:v>12473</c:v>
                </c:pt>
                <c:pt idx="3">
                  <c:v>9591</c:v>
                </c:pt>
                <c:pt idx="4">
                  <c:v>13706</c:v>
                </c:pt>
                <c:pt idx="5">
                  <c:v>12442</c:v>
                </c:pt>
                <c:pt idx="6">
                  <c:v>9334</c:v>
                </c:pt>
                <c:pt idx="7">
                  <c:v>11688</c:v>
                </c:pt>
                <c:pt idx="8">
                  <c:v>15950</c:v>
                </c:pt>
                <c:pt idx="9">
                  <c:v>14320</c:v>
                </c:pt>
                <c:pt idx="10">
                  <c:v>14934</c:v>
                </c:pt>
                <c:pt idx="11">
                  <c:v>17045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BB-4BA9-BCBF-B6763E22D726}"/>
            </c:ext>
          </c:extLst>
        </c:ser>
        <c:ser>
          <c:idx val="3"/>
          <c:order val="3"/>
          <c:tx>
            <c:strRef>
              <c:f>raw!$E$1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raw!$A$2:$A$13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raw!$E$2:$E$13</c:f>
              <c:numCache>
                <c:formatCode>#,##0</c:formatCode>
                <c:ptCount val="12"/>
                <c:pt idx="0">
                  <c:v>253</c:v>
                </c:pt>
                <c:pt idx="1">
                  <c:v>8642</c:v>
                </c:pt>
                <c:pt idx="2">
                  <c:v>12536</c:v>
                </c:pt>
                <c:pt idx="3">
                  <c:v>12399</c:v>
                </c:pt>
                <c:pt idx="4">
                  <c:v>10250</c:v>
                </c:pt>
                <c:pt idx="5">
                  <c:v>10401</c:v>
                </c:pt>
                <c:pt idx="6">
                  <c:v>5003</c:v>
                </c:pt>
                <c:pt idx="7">
                  <c:v>9863</c:v>
                </c:pt>
                <c:pt idx="8">
                  <c:v>14256</c:v>
                </c:pt>
                <c:pt idx="9">
                  <c:v>13102</c:v>
                </c:pt>
                <c:pt idx="10">
                  <c:v>11513</c:v>
                </c:pt>
                <c:pt idx="11">
                  <c:v>13970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BB-4BA9-BCBF-B6763E22D726}"/>
            </c:ext>
          </c:extLst>
        </c:ser>
        <c:ser>
          <c:idx val="4"/>
          <c:order val="4"/>
          <c:tx>
            <c:strRef>
              <c:f>raw!$F$1</c:f>
              <c:strCache>
                <c:ptCount val="1"/>
                <c:pt idx="0">
                  <c:v>2012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raw!$A$2:$A$13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raw!$F$2:$F$13</c:f>
              <c:numCache>
                <c:formatCode>#,##0</c:formatCode>
                <c:ptCount val="12"/>
                <c:pt idx="0">
                  <c:v>-193</c:v>
                </c:pt>
                <c:pt idx="1">
                  <c:v>9403</c:v>
                </c:pt>
                <c:pt idx="2">
                  <c:v>12213</c:v>
                </c:pt>
                <c:pt idx="3">
                  <c:v>22247</c:v>
                </c:pt>
                <c:pt idx="4">
                  <c:v>13633</c:v>
                </c:pt>
                <c:pt idx="5">
                  <c:v>9623</c:v>
                </c:pt>
                <c:pt idx="6">
                  <c:v>2699</c:v>
                </c:pt>
                <c:pt idx="7">
                  <c:v>10362</c:v>
                </c:pt>
                <c:pt idx="8">
                  <c:v>13343</c:v>
                </c:pt>
                <c:pt idx="9">
                  <c:v>12318</c:v>
                </c:pt>
                <c:pt idx="10">
                  <c:v>12400</c:v>
                </c:pt>
                <c:pt idx="11">
                  <c:v>14122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BB-4BA9-BCBF-B6763E22D726}"/>
            </c:ext>
          </c:extLst>
        </c:ser>
        <c:ser>
          <c:idx val="5"/>
          <c:order val="5"/>
          <c:tx>
            <c:strRef>
              <c:f>raw!$G$1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raw!$A$2:$A$13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raw!$G$2:$G$13</c:f>
              <c:numCache>
                <c:formatCode>#,##0</c:formatCode>
                <c:ptCount val="12"/>
                <c:pt idx="0">
                  <c:v>-1016</c:v>
                </c:pt>
                <c:pt idx="1">
                  <c:v>6834</c:v>
                </c:pt>
                <c:pt idx="2">
                  <c:v>8842</c:v>
                </c:pt>
                <c:pt idx="3">
                  <c:v>12175</c:v>
                </c:pt>
                <c:pt idx="4">
                  <c:v>10083</c:v>
                </c:pt>
                <c:pt idx="5">
                  <c:v>9129</c:v>
                </c:pt>
                <c:pt idx="6">
                  <c:v>4113</c:v>
                </c:pt>
                <c:pt idx="7">
                  <c:v>9095</c:v>
                </c:pt>
                <c:pt idx="8">
                  <c:v>12491</c:v>
                </c:pt>
                <c:pt idx="9">
                  <c:v>11761</c:v>
                </c:pt>
                <c:pt idx="10">
                  <c:v>11881</c:v>
                </c:pt>
                <c:pt idx="11">
                  <c:v>11172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BB-4BA9-BCBF-B6763E22D726}"/>
            </c:ext>
          </c:extLst>
        </c:ser>
        <c:ser>
          <c:idx val="6"/>
          <c:order val="6"/>
          <c:tx>
            <c:strRef>
              <c:f>raw!$H$1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raw!$A$2:$A$13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raw!$H$2:$H$13</c:f>
              <c:numCache>
                <c:formatCode>#,##0</c:formatCode>
                <c:ptCount val="12"/>
                <c:pt idx="0">
                  <c:v>-682</c:v>
                </c:pt>
                <c:pt idx="1">
                  <c:v>8546</c:v>
                </c:pt>
                <c:pt idx="2">
                  <c:v>5719</c:v>
                </c:pt>
                <c:pt idx="3">
                  <c:v>13000</c:v>
                </c:pt>
                <c:pt idx="4">
                  <c:v>10625</c:v>
                </c:pt>
                <c:pt idx="5">
                  <c:v>8371</c:v>
                </c:pt>
                <c:pt idx="6">
                  <c:v>3475</c:v>
                </c:pt>
                <c:pt idx="7">
                  <c:v>8732</c:v>
                </c:pt>
                <c:pt idx="8">
                  <c:v>13135</c:v>
                </c:pt>
                <c:pt idx="9">
                  <c:v>11294</c:v>
                </c:pt>
                <c:pt idx="10">
                  <c:v>9054</c:v>
                </c:pt>
                <c:pt idx="11">
                  <c:v>12150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BB-4BA9-BCBF-B6763E22D726}"/>
            </c:ext>
          </c:extLst>
        </c:ser>
        <c:ser>
          <c:idx val="7"/>
          <c:order val="7"/>
          <c:tx>
            <c:strRef>
              <c:f>raw!$I$1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raw!$A$2:$A$13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raw!$I$2:$I$13</c:f>
              <c:numCache>
                <c:formatCode>#,##0</c:formatCode>
                <c:ptCount val="12"/>
                <c:pt idx="0">
                  <c:v>-3891</c:v>
                </c:pt>
                <c:pt idx="1">
                  <c:v>5621</c:v>
                </c:pt>
                <c:pt idx="2">
                  <c:v>5329</c:v>
                </c:pt>
                <c:pt idx="3">
                  <c:v>12284</c:v>
                </c:pt>
                <c:pt idx="4">
                  <c:v>7861</c:v>
                </c:pt>
                <c:pt idx="5">
                  <c:v>8164</c:v>
                </c:pt>
                <c:pt idx="6">
                  <c:v>2389</c:v>
                </c:pt>
                <c:pt idx="7">
                  <c:v>9165</c:v>
                </c:pt>
                <c:pt idx="8">
                  <c:v>11818</c:v>
                </c:pt>
                <c:pt idx="9">
                  <c:v>10587</c:v>
                </c:pt>
                <c:pt idx="10">
                  <c:v>9449</c:v>
                </c:pt>
                <c:pt idx="11">
                  <c:v>7292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BB-4BA9-BCBF-B6763E22D726}"/>
            </c:ext>
          </c:extLst>
        </c:ser>
        <c:ser>
          <c:idx val="8"/>
          <c:order val="8"/>
          <c:tx>
            <c:strRef>
              <c:f>raw!$J$1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raw!$A$2:$A$13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raw!$J$2:$J$13</c:f>
              <c:numCache>
                <c:formatCode>#,##0</c:formatCode>
                <c:ptCount val="12"/>
                <c:pt idx="0">
                  <c:v>-7102</c:v>
                </c:pt>
                <c:pt idx="1">
                  <c:v>4834</c:v>
                </c:pt>
                <c:pt idx="2">
                  <c:v>4438</c:v>
                </c:pt>
                <c:pt idx="3">
                  <c:v>12385</c:v>
                </c:pt>
                <c:pt idx="4">
                  <c:v>7509</c:v>
                </c:pt>
                <c:pt idx="5">
                  <c:v>5255</c:v>
                </c:pt>
                <c:pt idx="6">
                  <c:v>922</c:v>
                </c:pt>
                <c:pt idx="7">
                  <c:v>7515</c:v>
                </c:pt>
                <c:pt idx="8">
                  <c:v>10852</c:v>
                </c:pt>
                <c:pt idx="9">
                  <c:v>7842</c:v>
                </c:pt>
                <c:pt idx="10">
                  <c:v>6988</c:v>
                </c:pt>
                <c:pt idx="11">
                  <c:v>5207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BB-4BA9-BCBF-B6763E22D726}"/>
            </c:ext>
          </c:extLst>
        </c:ser>
        <c:ser>
          <c:idx val="9"/>
          <c:order val="9"/>
          <c:tx>
            <c:strRef>
              <c:f>raw!$K$1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raw!$A$2:$A$13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raw!$K$2:$K$13</c:f>
              <c:numCache>
                <c:formatCode>#,##0</c:formatCode>
                <c:ptCount val="12"/>
                <c:pt idx="0">
                  <c:v>-9600</c:v>
                </c:pt>
                <c:pt idx="1">
                  <c:v>-1040</c:v>
                </c:pt>
                <c:pt idx="2">
                  <c:v>2187</c:v>
                </c:pt>
                <c:pt idx="3">
                  <c:v>12692</c:v>
                </c:pt>
                <c:pt idx="4">
                  <c:v>7395</c:v>
                </c:pt>
                <c:pt idx="5">
                  <c:v>6854</c:v>
                </c:pt>
                <c:pt idx="6">
                  <c:v>118</c:v>
                </c:pt>
                <c:pt idx="7">
                  <c:v>5361</c:v>
                </c:pt>
                <c:pt idx="8">
                  <c:v>9904</c:v>
                </c:pt>
                <c:pt idx="9">
                  <c:v>7873</c:v>
                </c:pt>
                <c:pt idx="10">
                  <c:v>6466</c:v>
                </c:pt>
                <c:pt idx="11">
                  <c:v>4271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5BB-4BA9-BCBF-B6763E22D726}"/>
            </c:ext>
          </c:extLst>
        </c:ser>
        <c:ser>
          <c:idx val="10"/>
          <c:order val="10"/>
          <c:tx>
            <c:strRef>
              <c:f>raw!$L$1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raw!$A$2:$A$13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raw!$L$2:$L$13</c:f>
              <c:numCache>
                <c:formatCode>#,##0</c:formatCode>
                <c:ptCount val="12"/>
                <c:pt idx="0">
                  <c:v>-7035</c:v>
                </c:pt>
                <c:pt idx="1">
                  <c:v>1431</c:v>
                </c:pt>
                <c:pt idx="2">
                  <c:v>1177</c:v>
                </c:pt>
                <c:pt idx="3">
                  <c:v>10408</c:v>
                </c:pt>
                <c:pt idx="4">
                  <c:v>4727</c:v>
                </c:pt>
                <c:pt idx="5">
                  <c:v>4303</c:v>
                </c:pt>
                <c:pt idx="6">
                  <c:v>-2706</c:v>
                </c:pt>
                <c:pt idx="7">
                  <c:v>6772</c:v>
                </c:pt>
                <c:pt idx="8">
                  <c:v>8662</c:v>
                </c:pt>
                <c:pt idx="9">
                  <c:v>8797</c:v>
                </c:pt>
                <c:pt idx="10">
                  <c:v>5402</c:v>
                </c:pt>
                <c:pt idx="11">
                  <c:v>5057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5BB-4BA9-BCBF-B6763E22D726}"/>
            </c:ext>
          </c:extLst>
        </c:ser>
        <c:ser>
          <c:idx val="11"/>
          <c:order val="11"/>
          <c:tx>
            <c:strRef>
              <c:f>raw!$M$1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raw!$A$2:$A$13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raw!$M$2:$M$13</c:f>
              <c:numCache>
                <c:formatCode>#,##0</c:formatCode>
                <c:ptCount val="12"/>
                <c:pt idx="0">
                  <c:v>-11810</c:v>
                </c:pt>
                <c:pt idx="1">
                  <c:v>600</c:v>
                </c:pt>
                <c:pt idx="2">
                  <c:v>-891</c:v>
                </c:pt>
                <c:pt idx="3">
                  <c:v>10912</c:v>
                </c:pt>
                <c:pt idx="4">
                  <c:v>5497</c:v>
                </c:pt>
                <c:pt idx="5">
                  <c:v>7075</c:v>
                </c:pt>
                <c:pt idx="6">
                  <c:v>-1737</c:v>
                </c:pt>
                <c:pt idx="7">
                  <c:v>4901</c:v>
                </c:pt>
                <c:pt idx="8">
                  <c:v>7477</c:v>
                </c:pt>
                <c:pt idx="9">
                  <c:v>10964</c:v>
                </c:pt>
                <c:pt idx="10">
                  <c:v>4964</c:v>
                </c:pt>
                <c:pt idx="11">
                  <c:v>4729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5BB-4BA9-BCBF-B6763E22D726}"/>
            </c:ext>
          </c:extLst>
        </c:ser>
        <c:ser>
          <c:idx val="12"/>
          <c:order val="12"/>
          <c:tx>
            <c:strRef>
              <c:f>raw!$N$1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raw!$A$2:$A$13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raw!$N$2:$N$13</c:f>
              <c:numCache>
                <c:formatCode>#,##0</c:formatCode>
                <c:ptCount val="12"/>
                <c:pt idx="0">
                  <c:v>-9963</c:v>
                </c:pt>
                <c:pt idx="1">
                  <c:v>790</c:v>
                </c:pt>
                <c:pt idx="2">
                  <c:v>3050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5BB-4BA9-BCBF-B6763E22D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838808"/>
        <c:axId val="350835200"/>
      </c:lineChart>
      <c:catAx>
        <c:axId val="35083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35200"/>
        <c:crosses val="autoZero"/>
        <c:auto val="1"/>
        <c:lblAlgn val="ctr"/>
        <c:lblOffset val="100"/>
        <c:noMultiLvlLbl val="0"/>
      </c:catAx>
      <c:valAx>
        <c:axId val="35083520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3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'min-max'!$B$1</c:f>
              <c:strCache>
                <c:ptCount val="1"/>
                <c:pt idx="0">
                  <c:v>Min, 2008-2019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'min-max'!$A$2:$A$13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'min-max'!$B$2:$B$13</c:f>
              <c:numCache>
                <c:formatCode>#,##0</c:formatCode>
                <c:ptCount val="12"/>
                <c:pt idx="0">
                  <c:v>-11810</c:v>
                </c:pt>
                <c:pt idx="1">
                  <c:v>-1040</c:v>
                </c:pt>
                <c:pt idx="2">
                  <c:v>-891</c:v>
                </c:pt>
                <c:pt idx="3">
                  <c:v>7014</c:v>
                </c:pt>
                <c:pt idx="4">
                  <c:v>4727</c:v>
                </c:pt>
                <c:pt idx="5">
                  <c:v>4303</c:v>
                </c:pt>
                <c:pt idx="6">
                  <c:v>-2706</c:v>
                </c:pt>
                <c:pt idx="7">
                  <c:v>4901</c:v>
                </c:pt>
                <c:pt idx="8">
                  <c:v>7477</c:v>
                </c:pt>
                <c:pt idx="9">
                  <c:v>7842</c:v>
                </c:pt>
                <c:pt idx="10">
                  <c:v>4964</c:v>
                </c:pt>
                <c:pt idx="11">
                  <c:v>4271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4B-416D-A9A9-1021BC0D56E0}"/>
            </c:ext>
          </c:extLst>
        </c:ser>
        <c:ser>
          <c:idx val="1"/>
          <c:order val="1"/>
          <c:tx>
            <c:strRef>
              <c:f>'min-max'!$C$1</c:f>
              <c:strCache>
                <c:ptCount val="1"/>
                <c:pt idx="0">
                  <c:v>Max, 2008-2019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'min-max'!$A$2:$A$13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'min-max'!$C$2:$C$13</c:f>
              <c:numCache>
                <c:formatCode>#,##0</c:formatCode>
                <c:ptCount val="12"/>
                <c:pt idx="0">
                  <c:v>6591</c:v>
                </c:pt>
                <c:pt idx="1">
                  <c:v>10241</c:v>
                </c:pt>
                <c:pt idx="2">
                  <c:v>13514</c:v>
                </c:pt>
                <c:pt idx="3">
                  <c:v>22247</c:v>
                </c:pt>
                <c:pt idx="4">
                  <c:v>13978</c:v>
                </c:pt>
                <c:pt idx="5">
                  <c:v>16869</c:v>
                </c:pt>
                <c:pt idx="6">
                  <c:v>9443</c:v>
                </c:pt>
                <c:pt idx="7">
                  <c:v>12146</c:v>
                </c:pt>
                <c:pt idx="8">
                  <c:v>16535</c:v>
                </c:pt>
                <c:pt idx="9">
                  <c:v>14769</c:v>
                </c:pt>
                <c:pt idx="10">
                  <c:v>14934</c:v>
                </c:pt>
                <c:pt idx="11">
                  <c:v>21311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4B-416D-A9A9-1021BC0D56E0}"/>
            </c:ext>
          </c:extLst>
        </c:ser>
        <c:ser>
          <c:idx val="12"/>
          <c:order val="2"/>
          <c:tx>
            <c:strRef>
              <c:f>'min-max'!$D$1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'min-max'!$A$2:$A$13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'min-max'!$D$2:$D$13</c:f>
              <c:numCache>
                <c:formatCode>#,##0</c:formatCode>
                <c:ptCount val="12"/>
                <c:pt idx="0">
                  <c:v>-9963</c:v>
                </c:pt>
                <c:pt idx="1">
                  <c:v>790</c:v>
                </c:pt>
                <c:pt idx="2">
                  <c:v>3050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74B-416D-A9A9-1021BC0D5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838808"/>
        <c:axId val="350835200"/>
      </c:lineChart>
      <c:catAx>
        <c:axId val="35083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35200"/>
        <c:crosses val="autoZero"/>
        <c:auto val="1"/>
        <c:lblAlgn val="ctr"/>
        <c:lblOffset val="100"/>
        <c:noMultiLvlLbl val="0"/>
      </c:catAx>
      <c:valAx>
        <c:axId val="35083520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3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average!$B$1</c:f>
              <c:strCache>
                <c:ptCount val="1"/>
                <c:pt idx="0">
                  <c:v>Average, 2008-2019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average!$A$2:$A$13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average!$B$2:$B$13</c:f>
              <c:numCache>
                <c:formatCode>#,##0</c:formatCode>
                <c:ptCount val="12"/>
                <c:pt idx="0">
                  <c:v>-2893.9166666666665</c:v>
                </c:pt>
                <c:pt idx="1">
                  <c:v>5522.166666666667</c:v>
                </c:pt>
                <c:pt idx="2">
                  <c:v>6898.416666666667</c:v>
                </c:pt>
                <c:pt idx="3">
                  <c:v>12196.833333333334</c:v>
                </c:pt>
                <c:pt idx="4">
                  <c:v>9451.4166666666661</c:v>
                </c:pt>
                <c:pt idx="5">
                  <c:v>8811.5</c:v>
                </c:pt>
                <c:pt idx="6">
                  <c:v>3066.6666666666665</c:v>
                </c:pt>
                <c:pt idx="7">
                  <c:v>8716.5</c:v>
                </c:pt>
                <c:pt idx="8">
                  <c:v>12317.833333333334</c:v>
                </c:pt>
                <c:pt idx="9">
                  <c:v>11224.75</c:v>
                </c:pt>
                <c:pt idx="10">
                  <c:v>10009.333333333334</c:v>
                </c:pt>
                <c:pt idx="11">
                  <c:v>10995.25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F-4CC5-8139-8E9F7249C34F}"/>
            </c:ext>
          </c:extLst>
        </c:ser>
        <c:ser>
          <c:idx val="12"/>
          <c:order val="1"/>
          <c:tx>
            <c:strRef>
              <c:f>average!$C$1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average!$A$2:$A$13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average!$C$2:$C$13</c:f>
              <c:numCache>
                <c:formatCode>#,##0</c:formatCode>
                <c:ptCount val="12"/>
                <c:pt idx="0">
                  <c:v>-9963</c:v>
                </c:pt>
                <c:pt idx="1">
                  <c:v>790</c:v>
                </c:pt>
                <c:pt idx="2">
                  <c:v>3050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1DF-4CC5-8139-8E9F7249C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838808"/>
        <c:axId val="350835200"/>
      </c:lineChart>
      <c:catAx>
        <c:axId val="35083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35200"/>
        <c:crosses val="autoZero"/>
        <c:auto val="1"/>
        <c:lblAlgn val="ctr"/>
        <c:lblOffset val="100"/>
        <c:noMultiLvlLbl val="0"/>
      </c:catAx>
      <c:valAx>
        <c:axId val="350835200"/>
        <c:scaling>
          <c:orientation val="minMax"/>
          <c:max val="25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3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479425</xdr:colOff>
      <xdr:row>14</xdr:row>
      <xdr:rowOff>127000</xdr:rowOff>
    </xdr:from>
    <xdr:to>
      <xdr:col>8</xdr:col>
      <xdr:colOff>174625</xdr:colOff>
      <xdr:row>32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A43A99-D960-489F-A2D7-6F86DD445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479425</xdr:colOff>
      <xdr:row>14</xdr:row>
      <xdr:rowOff>127000</xdr:rowOff>
    </xdr:from>
    <xdr:to>
      <xdr:col>8</xdr:col>
      <xdr:colOff>174625</xdr:colOff>
      <xdr:row>32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D7D967-C12A-44F7-8C92-20DECF3B5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479425</xdr:colOff>
      <xdr:row>14</xdr:row>
      <xdr:rowOff>127000</xdr:rowOff>
    </xdr:from>
    <xdr:to>
      <xdr:col>8</xdr:col>
      <xdr:colOff>174625</xdr:colOff>
      <xdr:row>32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B6487-05D9-49C3-BC03-E228FEC07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showGridLines="0" tabSelected="1" topLeftCell="A8" workbookViewId="0">
      <selection activeCell="K22" sqref="K22"/>
    </sheetView>
  </sheetViews>
  <sheetFormatPr defaultRowHeight="13" x14ac:dyDescent="0.3"/>
  <cols>
    <col min="1" max="1" width="8.7265625" style="1"/>
    <col min="2" max="12" width="10.1796875" style="1" bestFit="1" customWidth="1"/>
    <col min="13" max="13" width="10.81640625" style="1" bestFit="1" customWidth="1"/>
    <col min="14" max="14" width="9.81640625" style="1" bestFit="1" customWidth="1"/>
    <col min="15" max="16384" width="8.7265625" style="1"/>
  </cols>
  <sheetData>
    <row r="1" spans="1:14" x14ac:dyDescent="0.3">
      <c r="B1" s="3">
        <v>2008</v>
      </c>
      <c r="C1" s="3">
        <v>2009</v>
      </c>
      <c r="D1" s="3">
        <v>2010</v>
      </c>
      <c r="E1" s="3">
        <v>2011</v>
      </c>
      <c r="F1" s="3">
        <v>2012</v>
      </c>
      <c r="G1" s="3">
        <v>2013</v>
      </c>
      <c r="H1" s="3">
        <v>2014</v>
      </c>
      <c r="I1" s="3">
        <v>2015</v>
      </c>
      <c r="J1" s="3">
        <v>2016</v>
      </c>
      <c r="K1" s="3">
        <v>2017</v>
      </c>
      <c r="L1" s="3">
        <v>2018</v>
      </c>
      <c r="M1" s="3">
        <v>2019</v>
      </c>
      <c r="N1" s="3">
        <v>2020</v>
      </c>
    </row>
    <row r="2" spans="1:14" x14ac:dyDescent="0.3">
      <c r="A2" s="3" t="s">
        <v>0</v>
      </c>
      <c r="B2" s="2">
        <v>-6315</v>
      </c>
      <c r="C2" s="2">
        <v>6073</v>
      </c>
      <c r="D2" s="2">
        <v>6591</v>
      </c>
      <c r="E2" s="2">
        <v>253</v>
      </c>
      <c r="F2" s="2">
        <v>-193</v>
      </c>
      <c r="G2" s="2">
        <v>-1016</v>
      </c>
      <c r="H2" s="2">
        <v>-682</v>
      </c>
      <c r="I2" s="2">
        <v>-3891</v>
      </c>
      <c r="J2" s="2">
        <v>-7102</v>
      </c>
      <c r="K2" s="2">
        <v>-9600</v>
      </c>
      <c r="L2" s="2">
        <v>-7035</v>
      </c>
      <c r="M2" s="2">
        <v>-11810</v>
      </c>
      <c r="N2" s="2">
        <v>-9963</v>
      </c>
    </row>
    <row r="3" spans="1:14" x14ac:dyDescent="0.3">
      <c r="A3" s="3" t="s">
        <v>1</v>
      </c>
      <c r="B3" s="2">
        <v>2468</v>
      </c>
      <c r="C3" s="2">
        <v>10241</v>
      </c>
      <c r="D3" s="2">
        <v>8686</v>
      </c>
      <c r="E3" s="2">
        <v>8642</v>
      </c>
      <c r="F3" s="2">
        <v>9403</v>
      </c>
      <c r="G3" s="2">
        <v>6834</v>
      </c>
      <c r="H3" s="2">
        <v>8546</v>
      </c>
      <c r="I3" s="2">
        <v>5621</v>
      </c>
      <c r="J3" s="2">
        <v>4834</v>
      </c>
      <c r="K3" s="2">
        <v>-1040</v>
      </c>
      <c r="L3" s="2">
        <v>1431</v>
      </c>
      <c r="M3" s="2">
        <v>600</v>
      </c>
      <c r="N3" s="2">
        <v>790</v>
      </c>
    </row>
    <row r="4" spans="1:14" x14ac:dyDescent="0.3">
      <c r="A4" s="3" t="s">
        <v>2</v>
      </c>
      <c r="B4" s="2">
        <v>5244</v>
      </c>
      <c r="C4" s="2">
        <v>13514</v>
      </c>
      <c r="D4" s="2">
        <v>12473</v>
      </c>
      <c r="E4" s="2">
        <v>12536</v>
      </c>
      <c r="F4" s="2">
        <v>12213</v>
      </c>
      <c r="G4" s="2">
        <v>8842</v>
      </c>
      <c r="H4" s="2">
        <v>5719</v>
      </c>
      <c r="I4" s="2">
        <v>5329</v>
      </c>
      <c r="J4" s="2">
        <v>4438</v>
      </c>
      <c r="K4" s="2">
        <v>2187</v>
      </c>
      <c r="L4" s="2">
        <v>1177</v>
      </c>
      <c r="M4" s="2">
        <v>-891</v>
      </c>
      <c r="N4" s="2">
        <v>3050</v>
      </c>
    </row>
    <row r="5" spans="1:14" x14ac:dyDescent="0.3">
      <c r="A5" s="3" t="s">
        <v>3</v>
      </c>
      <c r="B5" s="2">
        <v>7014</v>
      </c>
      <c r="C5" s="2">
        <v>11255</v>
      </c>
      <c r="D5" s="2">
        <v>9591</v>
      </c>
      <c r="E5" s="2">
        <v>12399</v>
      </c>
      <c r="F5" s="2">
        <v>22247</v>
      </c>
      <c r="G5" s="2">
        <v>12175</v>
      </c>
      <c r="H5" s="2">
        <v>13000</v>
      </c>
      <c r="I5" s="2">
        <v>12284</v>
      </c>
      <c r="J5" s="2">
        <v>12385</v>
      </c>
      <c r="K5" s="2">
        <v>12692</v>
      </c>
      <c r="L5" s="2">
        <v>10408</v>
      </c>
      <c r="M5" s="2">
        <v>10912</v>
      </c>
      <c r="N5" s="2"/>
    </row>
    <row r="6" spans="1:14" x14ac:dyDescent="0.3">
      <c r="A6" s="3" t="s">
        <v>4</v>
      </c>
      <c r="B6" s="2">
        <v>8153</v>
      </c>
      <c r="C6" s="2">
        <v>13978</v>
      </c>
      <c r="D6" s="2">
        <v>13706</v>
      </c>
      <c r="E6" s="2">
        <v>10250</v>
      </c>
      <c r="F6" s="2">
        <v>13633</v>
      </c>
      <c r="G6" s="2">
        <v>10083</v>
      </c>
      <c r="H6" s="2">
        <v>10625</v>
      </c>
      <c r="I6" s="2">
        <v>7861</v>
      </c>
      <c r="J6" s="2">
        <v>7509</v>
      </c>
      <c r="K6" s="2">
        <v>7395</v>
      </c>
      <c r="L6" s="2">
        <v>4727</v>
      </c>
      <c r="M6" s="2">
        <v>5497</v>
      </c>
      <c r="N6" s="2"/>
    </row>
    <row r="7" spans="1:14" x14ac:dyDescent="0.3">
      <c r="A7" s="3" t="s">
        <v>5</v>
      </c>
      <c r="B7" s="2">
        <v>7252</v>
      </c>
      <c r="C7" s="2">
        <v>16869</v>
      </c>
      <c r="D7" s="2">
        <v>12442</v>
      </c>
      <c r="E7" s="2">
        <v>10401</v>
      </c>
      <c r="F7" s="2">
        <v>9623</v>
      </c>
      <c r="G7" s="2">
        <v>9129</v>
      </c>
      <c r="H7" s="2">
        <v>8371</v>
      </c>
      <c r="I7" s="2">
        <v>8164</v>
      </c>
      <c r="J7" s="2">
        <v>5255</v>
      </c>
      <c r="K7" s="2">
        <v>6854</v>
      </c>
      <c r="L7" s="2">
        <v>4303</v>
      </c>
      <c r="M7" s="2">
        <v>7075</v>
      </c>
      <c r="N7" s="2"/>
    </row>
    <row r="8" spans="1:14" x14ac:dyDescent="0.3">
      <c r="A8" s="3" t="s">
        <v>6</v>
      </c>
      <c r="B8" s="2">
        <v>3747</v>
      </c>
      <c r="C8" s="2">
        <v>9443</v>
      </c>
      <c r="D8" s="2">
        <v>9334</v>
      </c>
      <c r="E8" s="2">
        <v>5003</v>
      </c>
      <c r="F8" s="2">
        <v>2699</v>
      </c>
      <c r="G8" s="2">
        <v>4113</v>
      </c>
      <c r="H8" s="2">
        <v>3475</v>
      </c>
      <c r="I8" s="2">
        <v>2389</v>
      </c>
      <c r="J8" s="2">
        <v>922</v>
      </c>
      <c r="K8" s="2">
        <v>118</v>
      </c>
      <c r="L8" s="2">
        <v>-2706</v>
      </c>
      <c r="M8" s="2">
        <v>-1737</v>
      </c>
      <c r="N8" s="2"/>
    </row>
    <row r="9" spans="1:14" x14ac:dyDescent="0.3">
      <c r="A9" s="3" t="s">
        <v>7</v>
      </c>
      <c r="B9" s="2">
        <v>8998</v>
      </c>
      <c r="C9" s="2">
        <v>12146</v>
      </c>
      <c r="D9" s="2">
        <v>11688</v>
      </c>
      <c r="E9" s="2">
        <v>9863</v>
      </c>
      <c r="F9" s="2">
        <v>10362</v>
      </c>
      <c r="G9" s="2">
        <v>9095</v>
      </c>
      <c r="H9" s="2">
        <v>8732</v>
      </c>
      <c r="I9" s="2">
        <v>9165</v>
      </c>
      <c r="J9" s="2">
        <v>7515</v>
      </c>
      <c r="K9" s="2">
        <v>5361</v>
      </c>
      <c r="L9" s="2">
        <v>6772</v>
      </c>
      <c r="M9" s="2">
        <v>4901</v>
      </c>
      <c r="N9" s="2"/>
    </row>
    <row r="10" spans="1:14" x14ac:dyDescent="0.3">
      <c r="A10" s="3" t="s">
        <v>8</v>
      </c>
      <c r="B10" s="2">
        <v>13391</v>
      </c>
      <c r="C10" s="2">
        <v>16535</v>
      </c>
      <c r="D10" s="2">
        <v>15950</v>
      </c>
      <c r="E10" s="2">
        <v>14256</v>
      </c>
      <c r="F10" s="2">
        <v>13343</v>
      </c>
      <c r="G10" s="2">
        <v>12491</v>
      </c>
      <c r="H10" s="2">
        <v>13135</v>
      </c>
      <c r="I10" s="2">
        <v>11818</v>
      </c>
      <c r="J10" s="2">
        <v>10852</v>
      </c>
      <c r="K10" s="2">
        <v>9904</v>
      </c>
      <c r="L10" s="2">
        <v>8662</v>
      </c>
      <c r="M10" s="2">
        <v>7477</v>
      </c>
      <c r="N10" s="2"/>
    </row>
    <row r="11" spans="1:14" x14ac:dyDescent="0.3">
      <c r="A11" s="3" t="s">
        <v>9</v>
      </c>
      <c r="B11" s="2">
        <v>11070</v>
      </c>
      <c r="C11" s="2">
        <v>14769</v>
      </c>
      <c r="D11" s="2">
        <v>14320</v>
      </c>
      <c r="E11" s="2">
        <v>13102</v>
      </c>
      <c r="F11" s="2">
        <v>12318</v>
      </c>
      <c r="G11" s="2">
        <v>11761</v>
      </c>
      <c r="H11" s="2">
        <v>11294</v>
      </c>
      <c r="I11" s="2">
        <v>10587</v>
      </c>
      <c r="J11" s="2">
        <v>7842</v>
      </c>
      <c r="K11" s="2">
        <v>7873</v>
      </c>
      <c r="L11" s="2">
        <v>8797</v>
      </c>
      <c r="M11" s="2">
        <v>10964</v>
      </c>
      <c r="N11" s="2"/>
    </row>
    <row r="12" spans="1:14" x14ac:dyDescent="0.3">
      <c r="A12" s="3" t="s">
        <v>10</v>
      </c>
      <c r="B12" s="2">
        <v>12780</v>
      </c>
      <c r="C12" s="2">
        <v>14281</v>
      </c>
      <c r="D12" s="2">
        <v>14934</v>
      </c>
      <c r="E12" s="2">
        <v>11513</v>
      </c>
      <c r="F12" s="2">
        <v>12400</v>
      </c>
      <c r="G12" s="2">
        <v>11881</v>
      </c>
      <c r="H12" s="2">
        <v>9054</v>
      </c>
      <c r="I12" s="2">
        <v>9449</v>
      </c>
      <c r="J12" s="2">
        <v>6988</v>
      </c>
      <c r="K12" s="2">
        <v>6466</v>
      </c>
      <c r="L12" s="2">
        <v>5402</v>
      </c>
      <c r="M12" s="2">
        <v>4964</v>
      </c>
      <c r="N12" s="2"/>
    </row>
    <row r="13" spans="1:14" x14ac:dyDescent="0.3">
      <c r="A13" s="3" t="s">
        <v>11</v>
      </c>
      <c r="B13" s="2">
        <v>15617</v>
      </c>
      <c r="C13" s="2">
        <v>21311</v>
      </c>
      <c r="D13" s="2">
        <v>17045</v>
      </c>
      <c r="E13" s="2">
        <v>13970</v>
      </c>
      <c r="F13" s="2">
        <v>14122</v>
      </c>
      <c r="G13" s="2">
        <v>11172</v>
      </c>
      <c r="H13" s="2">
        <v>12150</v>
      </c>
      <c r="I13" s="2">
        <v>7292</v>
      </c>
      <c r="J13" s="2">
        <v>5207</v>
      </c>
      <c r="K13" s="2">
        <v>4271</v>
      </c>
      <c r="L13" s="2">
        <v>5057</v>
      </c>
      <c r="M13" s="2">
        <v>4729</v>
      </c>
      <c r="N13" s="2"/>
    </row>
    <row r="14" spans="1:14" x14ac:dyDescent="0.3">
      <c r="B14" s="4">
        <f>SUM(B2:B13)</f>
        <v>89419</v>
      </c>
      <c r="C14" s="4">
        <f t="shared" ref="C14:M14" si="0">SUM(C2:C13)</f>
        <v>160415</v>
      </c>
      <c r="D14" s="4">
        <f t="shared" si="0"/>
        <v>146760</v>
      </c>
      <c r="E14" s="4">
        <f t="shared" si="0"/>
        <v>122188</v>
      </c>
      <c r="F14" s="4">
        <f t="shared" si="0"/>
        <v>132170</v>
      </c>
      <c r="G14" s="4">
        <f t="shared" si="0"/>
        <v>106560</v>
      </c>
      <c r="H14" s="4">
        <f t="shared" si="0"/>
        <v>103419</v>
      </c>
      <c r="I14" s="4">
        <f t="shared" si="0"/>
        <v>86068</v>
      </c>
      <c r="J14" s="4">
        <f t="shared" si="0"/>
        <v>66645</v>
      </c>
      <c r="K14" s="4">
        <f t="shared" si="0"/>
        <v>52481</v>
      </c>
      <c r="L14" s="4">
        <f t="shared" si="0"/>
        <v>46995</v>
      </c>
      <c r="M14" s="4">
        <f t="shared" si="0"/>
        <v>42681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B14:M14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E98E-21E7-493A-B40D-05D79BCA8340}">
  <dimension ref="A1:D13"/>
  <sheetViews>
    <sheetView showGridLines="0" workbookViewId="0">
      <selection activeCell="C2" sqref="C2"/>
    </sheetView>
  </sheetViews>
  <sheetFormatPr defaultRowHeight="13" x14ac:dyDescent="0.3"/>
  <cols>
    <col min="1" max="1" width="8.7265625" style="1"/>
    <col min="2" max="12" width="10.1796875" style="1" bestFit="1" customWidth="1"/>
    <col min="13" max="13" width="10.81640625" style="1" bestFit="1" customWidth="1"/>
    <col min="14" max="14" width="9.81640625" style="1" bestFit="1" customWidth="1"/>
    <col min="15" max="16384" width="8.7265625" style="1"/>
  </cols>
  <sheetData>
    <row r="1" spans="1:4" x14ac:dyDescent="0.3">
      <c r="B1" s="3" t="s">
        <v>13</v>
      </c>
      <c r="C1" s="3" t="s">
        <v>14</v>
      </c>
      <c r="D1" s="3">
        <v>2020</v>
      </c>
    </row>
    <row r="2" spans="1:4" x14ac:dyDescent="0.3">
      <c r="A2" s="3" t="s">
        <v>0</v>
      </c>
      <c r="B2" s="2">
        <f>MIN(raw!B2:M2)</f>
        <v>-11810</v>
      </c>
      <c r="C2" s="2">
        <f>MAX(raw!B2:M2)</f>
        <v>6591</v>
      </c>
      <c r="D2" s="2">
        <v>-9963</v>
      </c>
    </row>
    <row r="3" spans="1:4" x14ac:dyDescent="0.3">
      <c r="A3" s="3" t="s">
        <v>1</v>
      </c>
      <c r="B3" s="2">
        <f>MIN(raw!B3:M3)</f>
        <v>-1040</v>
      </c>
      <c r="C3" s="2">
        <f>MAX(raw!B3:M3)</f>
        <v>10241</v>
      </c>
      <c r="D3" s="2">
        <v>790</v>
      </c>
    </row>
    <row r="4" spans="1:4" x14ac:dyDescent="0.3">
      <c r="A4" s="3" t="s">
        <v>2</v>
      </c>
      <c r="B4" s="2">
        <f>MIN(raw!B4:M4)</f>
        <v>-891</v>
      </c>
      <c r="C4" s="2">
        <f>MAX(raw!B4:M4)</f>
        <v>13514</v>
      </c>
      <c r="D4" s="2">
        <v>3050</v>
      </c>
    </row>
    <row r="5" spans="1:4" x14ac:dyDescent="0.3">
      <c r="A5" s="3" t="s">
        <v>3</v>
      </c>
      <c r="B5" s="2">
        <f>MIN(raw!B5:M5)</f>
        <v>7014</v>
      </c>
      <c r="C5" s="2">
        <f>MAX(raw!B5:M5)</f>
        <v>22247</v>
      </c>
      <c r="D5" s="2"/>
    </row>
    <row r="6" spans="1:4" x14ac:dyDescent="0.3">
      <c r="A6" s="3" t="s">
        <v>4</v>
      </c>
      <c r="B6" s="2">
        <f>MIN(raw!B6:M6)</f>
        <v>4727</v>
      </c>
      <c r="C6" s="2">
        <f>MAX(raw!B6:M6)</f>
        <v>13978</v>
      </c>
      <c r="D6" s="2"/>
    </row>
    <row r="7" spans="1:4" x14ac:dyDescent="0.3">
      <c r="A7" s="3" t="s">
        <v>5</v>
      </c>
      <c r="B7" s="2">
        <f>MIN(raw!B7:M7)</f>
        <v>4303</v>
      </c>
      <c r="C7" s="2">
        <f>MAX(raw!B7:M7)</f>
        <v>16869</v>
      </c>
      <c r="D7" s="2"/>
    </row>
    <row r="8" spans="1:4" x14ac:dyDescent="0.3">
      <c r="A8" s="3" t="s">
        <v>6</v>
      </c>
      <c r="B8" s="2">
        <f>MIN(raw!B8:M8)</f>
        <v>-2706</v>
      </c>
      <c r="C8" s="2">
        <f>MAX(raw!B8:M8)</f>
        <v>9443</v>
      </c>
      <c r="D8" s="2"/>
    </row>
    <row r="9" spans="1:4" x14ac:dyDescent="0.3">
      <c r="A9" s="3" t="s">
        <v>7</v>
      </c>
      <c r="B9" s="2">
        <f>MIN(raw!B9:M9)</f>
        <v>4901</v>
      </c>
      <c r="C9" s="2">
        <f>MAX(raw!B9:M9)</f>
        <v>12146</v>
      </c>
      <c r="D9" s="2"/>
    </row>
    <row r="10" spans="1:4" x14ac:dyDescent="0.3">
      <c r="A10" s="3" t="s">
        <v>8</v>
      </c>
      <c r="B10" s="2">
        <f>MIN(raw!B10:M10)</f>
        <v>7477</v>
      </c>
      <c r="C10" s="2">
        <f>MAX(raw!B10:M10)</f>
        <v>16535</v>
      </c>
      <c r="D10" s="2"/>
    </row>
    <row r="11" spans="1:4" x14ac:dyDescent="0.3">
      <c r="A11" s="3" t="s">
        <v>9</v>
      </c>
      <c r="B11" s="2">
        <f>MIN(raw!B11:M11)</f>
        <v>7842</v>
      </c>
      <c r="C11" s="2">
        <f>MAX(raw!B11:M11)</f>
        <v>14769</v>
      </c>
      <c r="D11" s="2"/>
    </row>
    <row r="12" spans="1:4" x14ac:dyDescent="0.3">
      <c r="A12" s="3" t="s">
        <v>10</v>
      </c>
      <c r="B12" s="2">
        <f>MIN(raw!B12:M12)</f>
        <v>4964</v>
      </c>
      <c r="C12" s="2">
        <f>MAX(raw!B12:M12)</f>
        <v>14934</v>
      </c>
      <c r="D12" s="2"/>
    </row>
    <row r="13" spans="1:4" x14ac:dyDescent="0.3">
      <c r="A13" s="3" t="s">
        <v>11</v>
      </c>
      <c r="B13" s="2">
        <f>MIN(raw!B13:M13)</f>
        <v>4271</v>
      </c>
      <c r="C13" s="2">
        <f>MAX(raw!B13:M13)</f>
        <v>21311</v>
      </c>
      <c r="D13" s="2"/>
    </row>
  </sheetData>
  <pageMargins left="0.75" right="0.75" top="1" bottom="1" header="0.5" footer="0.5"/>
  <pageSetup orientation="portrait" horizontalDpi="300" verticalDpi="300" r:id="rId1"/>
  <headerFooter alignWithMargins="0"/>
  <ignoredErrors>
    <ignoredError sqref="B2:C4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1C0A6-5159-4930-B685-FA75C7CDF62F}">
  <dimension ref="A1:C13"/>
  <sheetViews>
    <sheetView showGridLines="0" workbookViewId="0">
      <selection activeCell="K10" sqref="K10"/>
    </sheetView>
  </sheetViews>
  <sheetFormatPr defaultRowHeight="13" x14ac:dyDescent="0.3"/>
  <cols>
    <col min="1" max="1" width="8.7265625" style="1"/>
    <col min="2" max="12" width="10.1796875" style="1" bestFit="1" customWidth="1"/>
    <col min="13" max="13" width="10.81640625" style="1" bestFit="1" customWidth="1"/>
    <col min="14" max="14" width="9.81640625" style="1" bestFit="1" customWidth="1"/>
    <col min="15" max="16384" width="8.7265625" style="1"/>
  </cols>
  <sheetData>
    <row r="1" spans="1:3" x14ac:dyDescent="0.3">
      <c r="B1" s="3" t="s">
        <v>12</v>
      </c>
      <c r="C1" s="3">
        <v>2020</v>
      </c>
    </row>
    <row r="2" spans="1:3" x14ac:dyDescent="0.3">
      <c r="A2" s="3" t="s">
        <v>0</v>
      </c>
      <c r="B2" s="2">
        <f>AVERAGE(raw!$B2:$M2)</f>
        <v>-2893.9166666666665</v>
      </c>
      <c r="C2" s="2">
        <v>-9963</v>
      </c>
    </row>
    <row r="3" spans="1:3" x14ac:dyDescent="0.3">
      <c r="A3" s="3" t="s">
        <v>1</v>
      </c>
      <c r="B3" s="2">
        <f>AVERAGE(raw!$B3:$M3)</f>
        <v>5522.166666666667</v>
      </c>
      <c r="C3" s="2">
        <v>790</v>
      </c>
    </row>
    <row r="4" spans="1:3" x14ac:dyDescent="0.3">
      <c r="A4" s="3" t="s">
        <v>2</v>
      </c>
      <c r="B4" s="2">
        <f>AVERAGE(raw!$B4:$M4)</f>
        <v>6898.416666666667</v>
      </c>
      <c r="C4" s="2">
        <v>3050</v>
      </c>
    </row>
    <row r="5" spans="1:3" x14ac:dyDescent="0.3">
      <c r="A5" s="3" t="s">
        <v>3</v>
      </c>
      <c r="B5" s="2">
        <f>AVERAGE(raw!$B5:$M5)</f>
        <v>12196.833333333334</v>
      </c>
      <c r="C5" s="2"/>
    </row>
    <row r="6" spans="1:3" x14ac:dyDescent="0.3">
      <c r="A6" s="3" t="s">
        <v>4</v>
      </c>
      <c r="B6" s="2">
        <f>AVERAGE(raw!$B6:$M6)</f>
        <v>9451.4166666666661</v>
      </c>
      <c r="C6" s="2"/>
    </row>
    <row r="7" spans="1:3" x14ac:dyDescent="0.3">
      <c r="A7" s="3" t="s">
        <v>5</v>
      </c>
      <c r="B7" s="2">
        <f>AVERAGE(raw!$B7:$M7)</f>
        <v>8811.5</v>
      </c>
      <c r="C7" s="2"/>
    </row>
    <row r="8" spans="1:3" x14ac:dyDescent="0.3">
      <c r="A8" s="3" t="s">
        <v>6</v>
      </c>
      <c r="B8" s="2">
        <f>AVERAGE(raw!$B8:$M8)</f>
        <v>3066.6666666666665</v>
      </c>
      <c r="C8" s="2"/>
    </row>
    <row r="9" spans="1:3" x14ac:dyDescent="0.3">
      <c r="A9" s="3" t="s">
        <v>7</v>
      </c>
      <c r="B9" s="2">
        <f>AVERAGE(raw!$B9:$M9)</f>
        <v>8716.5</v>
      </c>
      <c r="C9" s="2"/>
    </row>
    <row r="10" spans="1:3" x14ac:dyDescent="0.3">
      <c r="A10" s="3" t="s">
        <v>8</v>
      </c>
      <c r="B10" s="2">
        <f>AVERAGE(raw!$B10:$M10)</f>
        <v>12317.833333333334</v>
      </c>
      <c r="C10" s="2"/>
    </row>
    <row r="11" spans="1:3" x14ac:dyDescent="0.3">
      <c r="A11" s="3" t="s">
        <v>9</v>
      </c>
      <c r="B11" s="2">
        <f>AVERAGE(raw!$B11:$M11)</f>
        <v>11224.75</v>
      </c>
      <c r="C11" s="2"/>
    </row>
    <row r="12" spans="1:3" x14ac:dyDescent="0.3">
      <c r="A12" s="3" t="s">
        <v>10</v>
      </c>
      <c r="B12" s="2">
        <f>AVERAGE(raw!$B12:$M12)</f>
        <v>10009.333333333334</v>
      </c>
      <c r="C12" s="2"/>
    </row>
    <row r="13" spans="1:3" x14ac:dyDescent="0.3">
      <c r="A13" s="3" t="s">
        <v>11</v>
      </c>
      <c r="B13" s="2">
        <f>AVERAGE(raw!$B13:$M13)</f>
        <v>10995.25</v>
      </c>
      <c r="C13" s="2"/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min-max</vt:lpstr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n</dc:creator>
  <cp:lastModifiedBy>pn</cp:lastModifiedBy>
  <dcterms:created xsi:type="dcterms:W3CDTF">2020-04-29T14:40:21Z</dcterms:created>
  <dcterms:modified xsi:type="dcterms:W3CDTF">2020-04-29T15:09:31Z</dcterms:modified>
</cp:coreProperties>
</file>